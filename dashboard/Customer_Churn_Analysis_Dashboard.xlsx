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kat\OneDrive\Desktop\M.tech\b.techprojects\Internship projects\Customer Retention &amp; Churn Analysis\"/>
    </mc:Choice>
  </mc:AlternateContent>
  <xr:revisionPtr revIDLastSave="0" documentId="13_ncr:1_{6F3167C9-E721-4775-ABE2-2D6093577858}" xr6:coauthVersionLast="47" xr6:coauthVersionMax="47" xr10:uidLastSave="{00000000-0000-0000-0000-000000000000}"/>
  <bookViews>
    <workbookView xWindow="2916" yWindow="3216" windowWidth="17280" windowHeight="10092" xr2:uid="{04A02654-B283-4483-BE79-3FDF34C9E89A}"/>
  </bookViews>
  <sheets>
    <sheet name="Dashboard" sheetId="1" r:id="rId1"/>
  </sheets>
  <externalReferences>
    <externalReference r:id="rId2"/>
  </externalReferences>
  <definedNames>
    <definedName name="tblaccounts">[1]!ravenstack_accounts[#Data]</definedName>
    <definedName name="tblchurnevents">[1]!ravenstack_churn_events[#Data]</definedName>
    <definedName name="tblfeatureusage">[1]!ravenstack_feature_usage[#Data]</definedName>
    <definedName name="tblsubscriptions">[1]!ravenstack_subscriptions[#Data]</definedName>
    <definedName name="tblsupporttickets">[1]!ravenstack_support_tickets[#Data]</definedName>
    <definedName name="tblubscriptions">[1]!ravenstack_subscriptions[#Data]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1" l="1"/>
  <c r="E4" i="1"/>
  <c r="C4" i="1"/>
  <c r="A4" i="1"/>
</calcChain>
</file>

<file path=xl/sharedStrings.xml><?xml version="1.0" encoding="utf-8"?>
<sst xmlns="http://schemas.openxmlformats.org/spreadsheetml/2006/main" count="7" uniqueCount="7">
  <si>
    <r>
      <rPr>
        <b/>
        <sz val="22"/>
        <color theme="1"/>
        <rFont val="Aptos Narrow"/>
        <family val="2"/>
        <scheme val="minor"/>
      </rPr>
      <t>CUSTOMER CHURN ANALYSIS DASHBOARD</t>
    </r>
    <r>
      <rPr>
        <b/>
        <sz val="18"/>
        <color theme="1"/>
        <rFont val="Aptos Narrow"/>
        <family val="2"/>
        <scheme val="minor"/>
      </rPr>
      <t xml:space="preserve"> </t>
    </r>
  </si>
  <si>
    <t>Customer, Subscription, Support &amp; Churn Performance Overview</t>
  </si>
  <si>
    <t>Total Customers</t>
  </si>
  <si>
    <t>Customer Churn Rate</t>
  </si>
  <si>
    <t>Total MRR</t>
  </si>
  <si>
    <t>Total ARR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</si>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</sst>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,##0_ ;\-#,##0\ 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5"/>
      <color theme="1"/>
      <name val="Aptos Narrow"/>
      <family val="2"/>
      <scheme val="minor"/>
    </font>
    <font>
      <sz val="25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0" xfId="0" applyFont="1"/>
    <xf numFmtId="0" fontId="2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9" fontId="2" fillId="0" borderId="8" xfId="0" applyNumberFormat="1" applyFont="1" applyBorder="1" applyAlignment="1">
      <alignment horizontal="center"/>
    </xf>
    <xf numFmtId="164" fontId="2" fillId="0" borderId="8" xfId="1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Rate by Industry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[1]Analysis!$D$48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[1]Analysis!$A$49:$A$53</c:f>
              <c:strCache>
                <c:ptCount val="5"/>
                <c:pt idx="0">
                  <c:v>EdTech</c:v>
                </c:pt>
                <c:pt idx="1">
                  <c:v>DevTools</c:v>
                </c:pt>
                <c:pt idx="2">
                  <c:v>HealthTech</c:v>
                </c:pt>
                <c:pt idx="3">
                  <c:v>FinTech</c:v>
                </c:pt>
                <c:pt idx="4">
                  <c:v>Cybersecurity</c:v>
                </c:pt>
              </c:strCache>
            </c:strRef>
          </c:cat>
          <c:val>
            <c:numRef>
              <c:f>[1]Analysis!$D$49:$D$53</c:f>
              <c:numCache>
                <c:formatCode>0%</c:formatCode>
                <c:ptCount val="5"/>
                <c:pt idx="0">
                  <c:v>0.16455696202531644</c:v>
                </c:pt>
                <c:pt idx="1">
                  <c:v>0.30973451327433627</c:v>
                </c:pt>
                <c:pt idx="2">
                  <c:v>0.21875</c:v>
                </c:pt>
                <c:pt idx="3">
                  <c:v>0.22321428571428573</c:v>
                </c:pt>
                <c:pt idx="4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9C-4BCE-8D80-040B24AF9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0447695"/>
        <c:axId val="950450575"/>
      </c:barChart>
      <c:catAx>
        <c:axId val="95044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450575"/>
        <c:crosses val="autoZero"/>
        <c:auto val="1"/>
        <c:lblAlgn val="ctr"/>
        <c:lblOffset val="100"/>
        <c:noMultiLvlLbl val="0"/>
      </c:catAx>
      <c:valAx>
        <c:axId val="95045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447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Rate by Country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[1]Analysis!$D$56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[1]Analysis!$A$57:$A$63</c:f>
              <c:strCache>
                <c:ptCount val="7"/>
                <c:pt idx="0">
                  <c:v>US</c:v>
                </c:pt>
                <c:pt idx="1">
                  <c:v>UK</c:v>
                </c:pt>
                <c:pt idx="2">
                  <c:v>IN</c:v>
                </c:pt>
                <c:pt idx="3">
                  <c:v>CA</c:v>
                </c:pt>
                <c:pt idx="4">
                  <c:v>AU</c:v>
                </c:pt>
                <c:pt idx="5">
                  <c:v>DE</c:v>
                </c:pt>
                <c:pt idx="6">
                  <c:v>FR</c:v>
                </c:pt>
              </c:strCache>
            </c:strRef>
          </c:cat>
          <c:val>
            <c:numRef>
              <c:f>[1]Analysis!$D$57:$D$63</c:f>
              <c:numCache>
                <c:formatCode>0%</c:formatCode>
                <c:ptCount val="7"/>
                <c:pt idx="0">
                  <c:v>0.23367697594501718</c:v>
                </c:pt>
                <c:pt idx="1">
                  <c:v>0.18965517241379309</c:v>
                </c:pt>
                <c:pt idx="2">
                  <c:v>0.20408163265306123</c:v>
                </c:pt>
                <c:pt idx="3">
                  <c:v>0.17391304347826086</c:v>
                </c:pt>
                <c:pt idx="4">
                  <c:v>0.125</c:v>
                </c:pt>
                <c:pt idx="5">
                  <c:v>0.32</c:v>
                </c:pt>
                <c:pt idx="6">
                  <c:v>0.22727272727272727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85-4FFF-8BD4-07C2B6CCC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0447215"/>
        <c:axId val="1004192831"/>
      </c:barChart>
      <c:catAx>
        <c:axId val="95044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192831"/>
        <c:crosses val="autoZero"/>
        <c:auto val="1"/>
        <c:lblAlgn val="ctr"/>
        <c:lblOffset val="100"/>
        <c:noMultiLvlLbl val="0"/>
      </c:catAx>
      <c:valAx>
        <c:axId val="100419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447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Rate by Trial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[1]Analysis!$D$43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[1]Analysis!$A$44:$A$45</c:f>
              <c:strCache>
                <c:ptCount val="2"/>
                <c:pt idx="0">
                  <c:v>Trial</c:v>
                </c:pt>
                <c:pt idx="1">
                  <c:v>Non-Trial</c:v>
                </c:pt>
              </c:strCache>
            </c:strRef>
          </c:cat>
          <c:val>
            <c:numRef>
              <c:f>[1]Analysis!$D$44:$D$45</c:f>
              <c:numCache>
                <c:formatCode>0%</c:formatCode>
                <c:ptCount val="2"/>
                <c:pt idx="0">
                  <c:v>0.25773195876288657</c:v>
                </c:pt>
                <c:pt idx="1">
                  <c:v>0.21091811414392059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B5-4901-B5DF-5E8DEB772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4202911"/>
        <c:axId val="1004205311"/>
      </c:barChart>
      <c:catAx>
        <c:axId val="1004202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205311"/>
        <c:crosses val="autoZero"/>
        <c:auto val="1"/>
        <c:lblAlgn val="ctr"/>
        <c:lblOffset val="100"/>
        <c:noMultiLvlLbl val="0"/>
      </c:catAx>
      <c:valAx>
        <c:axId val="100420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202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Rate by Plan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[1]Analysis!$D$37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[1]Analysis!$A$38:$A$40</c:f>
              <c:strCache>
                <c:ptCount val="3"/>
                <c:pt idx="0">
                  <c:v>Basic</c:v>
                </c:pt>
                <c:pt idx="1">
                  <c:v>Pro</c:v>
                </c:pt>
                <c:pt idx="2">
                  <c:v>Enterprise</c:v>
                </c:pt>
              </c:strCache>
            </c:strRef>
          </c:cat>
          <c:val>
            <c:numRef>
              <c:f>[1]Analysis!$D$38:$D$40</c:f>
              <c:numCache>
                <c:formatCode>0%</c:formatCode>
                <c:ptCount val="3"/>
                <c:pt idx="0">
                  <c:v>9.4881398252184765E-2</c:v>
                </c:pt>
                <c:pt idx="1">
                  <c:v>9.6716417910447758E-2</c:v>
                </c:pt>
                <c:pt idx="2">
                  <c:v>9.9825885084155547E-2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FB-4A72-9250-4E2C11C65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4198591"/>
        <c:axId val="1004200991"/>
      </c:barChart>
      <c:catAx>
        <c:axId val="100419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200991"/>
        <c:crosses val="autoZero"/>
        <c:auto val="1"/>
        <c:lblAlgn val="ctr"/>
        <c:lblOffset val="100"/>
        <c:noMultiLvlLbl val="0"/>
      </c:catAx>
      <c:valAx>
        <c:axId val="1004200991"/>
        <c:scaling>
          <c:orientation val="minMax"/>
          <c:max val="0.1500000000000000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198591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Rate by Referral Source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[1]Analysis!$D$66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[1]Analysis!$A$67:$A$71</c:f>
              <c:strCache>
                <c:ptCount val="5"/>
                <c:pt idx="0">
                  <c:v>ads</c:v>
                </c:pt>
                <c:pt idx="1">
                  <c:v>event</c:v>
                </c:pt>
                <c:pt idx="2">
                  <c:v>organic</c:v>
                </c:pt>
                <c:pt idx="3">
                  <c:v>other</c:v>
                </c:pt>
                <c:pt idx="4">
                  <c:v>partner</c:v>
                </c:pt>
              </c:strCache>
            </c:strRef>
          </c:cat>
          <c:val>
            <c:numRef>
              <c:f>[1]Analysis!$D$67:$D$71</c:f>
              <c:numCache>
                <c:formatCode>0%</c:formatCode>
                <c:ptCount val="5"/>
                <c:pt idx="0">
                  <c:v>0.23469387755102042</c:v>
                </c:pt>
                <c:pt idx="1">
                  <c:v>0.30208333333333331</c:v>
                </c:pt>
                <c:pt idx="2">
                  <c:v>0.17543859649122806</c:v>
                </c:pt>
                <c:pt idx="3">
                  <c:v>0.24271844660194175</c:v>
                </c:pt>
                <c:pt idx="4">
                  <c:v>0.14606741573033707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E8-98F4-534F80A41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4193311"/>
        <c:axId val="1004193791"/>
      </c:barChart>
      <c:catAx>
        <c:axId val="100419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193791"/>
        <c:crosses val="autoZero"/>
        <c:auto val="1"/>
        <c:lblAlgn val="ctr"/>
        <c:lblOffset val="100"/>
        <c:noMultiLvlLbl val="0"/>
      </c:catAx>
      <c:valAx>
        <c:axId val="100419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193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Support Tickets by Priority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[1]Analysis!$C$77</c:f>
              <c:strCache>
                <c:ptCount val="1"/>
                <c:pt idx="0">
                  <c:v>Ticket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[1]Analysis!$A$78:$A$81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urgent</c:v>
                </c:pt>
              </c:strCache>
            </c:strRef>
          </c:cat>
          <c:val>
            <c:numRef>
              <c:f>[1]Analysis!$C$78:$C$81</c:f>
              <c:numCache>
                <c:formatCode>0%</c:formatCode>
                <c:ptCount val="4"/>
                <c:pt idx="0">
                  <c:v>0.24249999999999999</c:v>
                </c:pt>
                <c:pt idx="1">
                  <c:v>0.2455</c:v>
                </c:pt>
                <c:pt idx="2">
                  <c:v>0.255</c:v>
                </c:pt>
                <c:pt idx="3">
                  <c:v>0.25700000000000001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5F-4290-B280-909C41A49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6625023"/>
        <c:axId val="1006625503"/>
      </c:barChart>
      <c:catAx>
        <c:axId val="100662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625503"/>
        <c:crosses val="autoZero"/>
        <c:auto val="1"/>
        <c:lblAlgn val="ctr"/>
        <c:lblOffset val="100"/>
        <c:noMultiLvlLbl val="0"/>
      </c:catAx>
      <c:valAx>
        <c:axId val="1006625503"/>
        <c:scaling>
          <c:orientation val="minMax"/>
          <c:max val="0.3000000000000000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625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Support Tickets by Escalation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[1]Analysis!$C$86</c:f>
              <c:strCache>
                <c:ptCount val="1"/>
                <c:pt idx="0">
                  <c:v>Ticket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[1]Analysis!$A$87:$A$88</c:f>
              <c:strCache>
                <c:ptCount val="2"/>
                <c:pt idx="0">
                  <c:v>Escalated</c:v>
                </c:pt>
                <c:pt idx="1">
                  <c:v>Non-Escalated</c:v>
                </c:pt>
              </c:strCache>
            </c:strRef>
          </c:cat>
          <c:val>
            <c:numRef>
              <c:f>[1]Analysis!$C$87:$C$88</c:f>
              <c:numCache>
                <c:formatCode>0%</c:formatCode>
                <c:ptCount val="2"/>
                <c:pt idx="0">
                  <c:v>4.7500000000000001E-2</c:v>
                </c:pt>
                <c:pt idx="1">
                  <c:v>0.95250000000000001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C9-438D-92F3-5CAAA396D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6044911"/>
        <c:axId val="1006046351"/>
      </c:barChart>
      <c:catAx>
        <c:axId val="100604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046351"/>
        <c:crosses val="autoZero"/>
        <c:auto val="1"/>
        <c:lblAlgn val="ctr"/>
        <c:lblOffset val="100"/>
        <c:noMultiLvlLbl val="0"/>
      </c:catAx>
      <c:valAx>
        <c:axId val="100604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044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4</xdr:row>
      <xdr:rowOff>175260</xdr:rowOff>
    </xdr:from>
    <xdr:to>
      <xdr:col>2</xdr:col>
      <xdr:colOff>2110740</xdr:colOff>
      <xdr:row>19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8D7B79-A58B-45DB-875C-78CC32BD72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7620</xdr:colOff>
      <xdr:row>4</xdr:row>
      <xdr:rowOff>161637</xdr:rowOff>
    </xdr:from>
    <xdr:to>
      <xdr:col>7</xdr:col>
      <xdr:colOff>0</xdr:colOff>
      <xdr:row>19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A4B232-701E-446A-B058-17234E5A4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175260</xdr:rowOff>
    </xdr:from>
    <xdr:to>
      <xdr:col>3</xdr:col>
      <xdr:colOff>0</xdr:colOff>
      <xdr:row>34</xdr:row>
      <xdr:rowOff>57727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810722-0AAE-4953-BC1C-C741E64F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19</xdr:row>
      <xdr:rowOff>150090</xdr:rowOff>
    </xdr:from>
    <xdr:to>
      <xdr:col>7</xdr:col>
      <xdr:colOff>0</xdr:colOff>
      <xdr:row>34</xdr:row>
      <xdr:rowOff>80818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4A52D15-37AA-473B-B387-2180797148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35</xdr:row>
      <xdr:rowOff>1</xdr:rowOff>
    </xdr:from>
    <xdr:to>
      <xdr:col>3</xdr:col>
      <xdr:colOff>7620</xdr:colOff>
      <xdr:row>49</xdr:row>
      <xdr:rowOff>38101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61BB4D1-CB83-4F7F-A1B4-C246C7B3E4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35</xdr:row>
      <xdr:rowOff>0</xdr:rowOff>
    </xdr:from>
    <xdr:to>
      <xdr:col>7</xdr:col>
      <xdr:colOff>0</xdr:colOff>
      <xdr:row>49</xdr:row>
      <xdr:rowOff>15240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ED1D876-CFD5-4B02-92F7-4AA2AF12D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50</xdr:row>
      <xdr:rowOff>0</xdr:rowOff>
    </xdr:from>
    <xdr:to>
      <xdr:col>6</xdr:col>
      <xdr:colOff>2100942</xdr:colOff>
      <xdr:row>65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D49B076-618F-429F-94ED-EFD3F9E822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rkat\OneDrive\Desktop\M.tech\b.techprojects\Internship%20projects\Customer%20Retention%20&amp;%20Churn%20Analysis\Customer_Churn_Analysis.xlsx" TargetMode="External"/><Relationship Id="rId1" Type="http://schemas.openxmlformats.org/officeDocument/2006/relationships/externalLinkPath" Target="Customer_Churn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counts"/>
      <sheetName val="Subscriptions"/>
      <sheetName val="Feature Usage"/>
      <sheetName val="Support Tickets"/>
      <sheetName val="Churn Events"/>
      <sheetName val="Analysis"/>
      <sheetName val="Dashboard"/>
    </sheetNames>
    <sheetDataSet>
      <sheetData sheetId="0"/>
      <sheetData sheetId="1"/>
      <sheetData sheetId="2"/>
      <sheetData sheetId="3"/>
      <sheetData sheetId="4"/>
      <sheetData sheetId="5">
        <row r="37">
          <cell r="D37" t="str">
            <v>Churn Rate</v>
          </cell>
        </row>
        <row r="38">
          <cell r="A38" t="str">
            <v>Basic</v>
          </cell>
          <cell r="D38">
            <v>9.4881398252184765E-2</v>
          </cell>
        </row>
        <row r="39">
          <cell r="A39" t="str">
            <v>Pro</v>
          </cell>
          <cell r="D39">
            <v>9.6716417910447758E-2</v>
          </cell>
        </row>
        <row r="40">
          <cell r="A40" t="str">
            <v>Enterprise</v>
          </cell>
          <cell r="D40">
            <v>9.9825885084155547E-2</v>
          </cell>
        </row>
        <row r="43">
          <cell r="D43" t="str">
            <v>Churn Rate</v>
          </cell>
        </row>
        <row r="44">
          <cell r="A44" t="str">
            <v>Trial</v>
          </cell>
          <cell r="D44">
            <v>0.25773195876288657</v>
          </cell>
        </row>
        <row r="45">
          <cell r="A45" t="str">
            <v>Non-Trial</v>
          </cell>
          <cell r="D45">
            <v>0.21091811414392059</v>
          </cell>
        </row>
        <row r="48">
          <cell r="D48" t="str">
            <v>Churn Rate</v>
          </cell>
        </row>
        <row r="49">
          <cell r="A49" t="str">
            <v>EdTech</v>
          </cell>
          <cell r="D49">
            <v>0.16455696202531644</v>
          </cell>
        </row>
        <row r="50">
          <cell r="A50" t="str">
            <v>DevTools</v>
          </cell>
          <cell r="D50">
            <v>0.30973451327433627</v>
          </cell>
        </row>
        <row r="51">
          <cell r="A51" t="str">
            <v>HealthTech</v>
          </cell>
          <cell r="D51">
            <v>0.21875</v>
          </cell>
        </row>
        <row r="52">
          <cell r="A52" t="str">
            <v>FinTech</v>
          </cell>
          <cell r="D52">
            <v>0.22321428571428573</v>
          </cell>
        </row>
        <row r="53">
          <cell r="A53" t="str">
            <v>Cybersecurity</v>
          </cell>
          <cell r="D53">
            <v>0.16</v>
          </cell>
        </row>
        <row r="56">
          <cell r="D56" t="str">
            <v>Churn Rate</v>
          </cell>
        </row>
        <row r="57">
          <cell r="A57" t="str">
            <v>US</v>
          </cell>
          <cell r="D57">
            <v>0.23367697594501718</v>
          </cell>
        </row>
        <row r="58">
          <cell r="A58" t="str">
            <v>UK</v>
          </cell>
          <cell r="D58">
            <v>0.18965517241379309</v>
          </cell>
        </row>
        <row r="59">
          <cell r="A59" t="str">
            <v>IN</v>
          </cell>
          <cell r="D59">
            <v>0.20408163265306123</v>
          </cell>
        </row>
        <row r="60">
          <cell r="A60" t="str">
            <v>CA</v>
          </cell>
          <cell r="D60">
            <v>0.17391304347826086</v>
          </cell>
        </row>
        <row r="61">
          <cell r="A61" t="str">
            <v>AU</v>
          </cell>
          <cell r="D61">
            <v>0.125</v>
          </cell>
        </row>
        <row r="62">
          <cell r="A62" t="str">
            <v>DE</v>
          </cell>
          <cell r="D62">
            <v>0.32</v>
          </cell>
        </row>
        <row r="63">
          <cell r="A63" t="str">
            <v>FR</v>
          </cell>
          <cell r="D63">
            <v>0.22727272727272727</v>
          </cell>
        </row>
        <row r="66">
          <cell r="D66" t="str">
            <v>Churn Rate</v>
          </cell>
        </row>
        <row r="67">
          <cell r="A67" t="str">
            <v>ads</v>
          </cell>
          <cell r="D67">
            <v>0.23469387755102042</v>
          </cell>
        </row>
        <row r="68">
          <cell r="A68" t="str">
            <v>event</v>
          </cell>
          <cell r="D68">
            <v>0.30208333333333331</v>
          </cell>
        </row>
        <row r="69">
          <cell r="A69" t="str">
            <v>organic</v>
          </cell>
          <cell r="D69">
            <v>0.17543859649122806</v>
          </cell>
        </row>
        <row r="70">
          <cell r="A70" t="str">
            <v>other</v>
          </cell>
          <cell r="D70">
            <v>0.24271844660194175</v>
          </cell>
        </row>
        <row r="71">
          <cell r="A71" t="str">
            <v>partner</v>
          </cell>
          <cell r="D71">
            <v>0.14606741573033707</v>
          </cell>
        </row>
        <row r="77">
          <cell r="C77" t="str">
            <v>Ticket %</v>
          </cell>
        </row>
        <row r="78">
          <cell r="A78" t="str">
            <v>low</v>
          </cell>
          <cell r="C78">
            <v>0.24249999999999999</v>
          </cell>
        </row>
        <row r="79">
          <cell r="A79" t="str">
            <v>medium</v>
          </cell>
          <cell r="C79">
            <v>0.2455</v>
          </cell>
        </row>
        <row r="80">
          <cell r="A80" t="str">
            <v>high</v>
          </cell>
          <cell r="C80">
            <v>0.255</v>
          </cell>
        </row>
        <row r="81">
          <cell r="A81" t="str">
            <v>urgent</v>
          </cell>
          <cell r="C81">
            <v>0.25700000000000001</v>
          </cell>
        </row>
        <row r="86">
          <cell r="C86" t="str">
            <v>Ticket %</v>
          </cell>
        </row>
        <row r="87">
          <cell r="A87" t="str">
            <v>Escalated</v>
          </cell>
          <cell r="C87">
            <v>4.7500000000000001E-2</v>
          </cell>
        </row>
        <row r="88">
          <cell r="A88" t="str">
            <v>Non-Escalated</v>
          </cell>
          <cell r="C88">
            <v>0.95250000000000001</v>
          </cell>
        </row>
        <row r="443">
          <cell r="B443">
            <v>11338747</v>
          </cell>
        </row>
        <row r="444">
          <cell r="B444">
            <v>136064964</v>
          </cell>
        </row>
        <row r="456">
          <cell r="B456">
            <v>500</v>
          </cell>
        </row>
        <row r="459">
          <cell r="B459">
            <v>0.22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A4CA1-F1DE-4BE6-89CE-693B52D94709}">
  <dimension ref="A1:I65"/>
  <sheetViews>
    <sheetView showGridLines="0" tabSelected="1" zoomScale="66" zoomScaleNormal="66" workbookViewId="0">
      <selection activeCell="R9" sqref="R9"/>
    </sheetView>
  </sheetViews>
  <sheetFormatPr defaultRowHeight="14.4" x14ac:dyDescent="0.3"/>
  <cols>
    <col min="1" max="1" width="30.77734375" customWidth="1"/>
    <col min="2" max="2" width="1.21875" customWidth="1"/>
    <col min="3" max="3" width="30.88671875" customWidth="1"/>
    <col min="4" max="4" width="1.21875" customWidth="1"/>
    <col min="5" max="5" width="30.88671875" customWidth="1"/>
    <col min="6" max="6" width="1.21875" customWidth="1"/>
    <col min="7" max="7" width="30.77734375" customWidth="1"/>
    <col min="8" max="8" width="1.109375" customWidth="1"/>
  </cols>
  <sheetData>
    <row r="1" spans="1:9" s="5" customFormat="1" ht="54" customHeight="1" x14ac:dyDescent="0.65">
      <c r="A1" s="1" t="s">
        <v>0</v>
      </c>
      <c r="B1" s="2"/>
      <c r="C1" s="2"/>
      <c r="D1" s="2"/>
      <c r="E1" s="2"/>
      <c r="F1" s="2"/>
      <c r="G1" s="3"/>
      <c r="H1" s="4"/>
    </row>
    <row r="2" spans="1:9" s="9" customFormat="1" ht="37.799999999999997" customHeight="1" x14ac:dyDescent="0.35">
      <c r="A2" s="6" t="s">
        <v>1</v>
      </c>
      <c r="B2" s="7"/>
      <c r="C2" s="7"/>
      <c r="D2" s="7"/>
      <c r="E2" s="7"/>
      <c r="F2" s="7"/>
      <c r="G2" s="8"/>
    </row>
    <row r="3" spans="1:9" x14ac:dyDescent="0.3">
      <c r="A3" s="10" t="s">
        <v>2</v>
      </c>
      <c r="C3" s="10" t="s">
        <v>3</v>
      </c>
      <c r="E3" s="11" t="s">
        <v>4</v>
      </c>
      <c r="G3" s="10" t="s">
        <v>5</v>
      </c>
    </row>
    <row r="4" spans="1:9" x14ac:dyDescent="0.3">
      <c r="A4" s="12">
        <f>[1]Analysis!B456</f>
        <v>500</v>
      </c>
      <c r="C4" s="13">
        <f>[1]Analysis!B459</f>
        <v>0.22</v>
      </c>
      <c r="E4" s="14">
        <f>[1]Analysis!B443</f>
        <v>11338747</v>
      </c>
      <c r="G4" s="15">
        <f>[1]Analysis!B444</f>
        <v>136064964</v>
      </c>
    </row>
    <row r="5" spans="1:9" x14ac:dyDescent="0.3">
      <c r="A5" s="16"/>
      <c r="G5" s="17"/>
    </row>
    <row r="6" spans="1:9" x14ac:dyDescent="0.3">
      <c r="A6" s="16"/>
      <c r="G6" s="17"/>
    </row>
    <row r="7" spans="1:9" x14ac:dyDescent="0.3">
      <c r="A7" s="16"/>
      <c r="G7" s="17"/>
    </row>
    <row r="8" spans="1:9" x14ac:dyDescent="0.3">
      <c r="A8" s="16"/>
      <c r="G8" s="17"/>
    </row>
    <row r="9" spans="1:9" x14ac:dyDescent="0.3">
      <c r="A9" s="16"/>
      <c r="G9" s="17"/>
    </row>
    <row r="10" spans="1:9" x14ac:dyDescent="0.3">
      <c r="A10" s="16"/>
      <c r="G10" s="17"/>
      <c r="I10" t="s">
        <v>6</v>
      </c>
    </row>
    <row r="11" spans="1:9" x14ac:dyDescent="0.3">
      <c r="A11" s="16"/>
      <c r="G11" s="17"/>
    </row>
    <row r="12" spans="1:9" x14ac:dyDescent="0.3">
      <c r="A12" s="16"/>
      <c r="G12" s="17"/>
    </row>
    <row r="13" spans="1:9" x14ac:dyDescent="0.3">
      <c r="A13" s="16"/>
      <c r="G13" s="17"/>
    </row>
    <row r="14" spans="1:9" x14ac:dyDescent="0.3">
      <c r="A14" s="16"/>
      <c r="G14" s="17"/>
    </row>
    <row r="15" spans="1:9" x14ac:dyDescent="0.3">
      <c r="A15" s="16"/>
      <c r="G15" s="17"/>
    </row>
    <row r="16" spans="1:9" x14ac:dyDescent="0.3">
      <c r="A16" s="16"/>
      <c r="G16" s="17"/>
    </row>
    <row r="17" spans="1:7" x14ac:dyDescent="0.3">
      <c r="A17" s="16"/>
      <c r="G17" s="17"/>
    </row>
    <row r="18" spans="1:7" x14ac:dyDescent="0.3">
      <c r="A18" s="16"/>
      <c r="G18" s="17"/>
    </row>
    <row r="19" spans="1:7" x14ac:dyDescent="0.3">
      <c r="A19" s="16"/>
      <c r="G19" s="17"/>
    </row>
    <row r="20" spans="1:7" x14ac:dyDescent="0.3">
      <c r="A20" s="16"/>
      <c r="G20" s="17"/>
    </row>
    <row r="21" spans="1:7" x14ac:dyDescent="0.3">
      <c r="A21" s="16"/>
      <c r="G21" s="17"/>
    </row>
    <row r="22" spans="1:7" x14ac:dyDescent="0.3">
      <c r="A22" s="16"/>
      <c r="G22" s="17"/>
    </row>
    <row r="23" spans="1:7" x14ac:dyDescent="0.3">
      <c r="A23" s="16"/>
      <c r="G23" s="17"/>
    </row>
    <row r="24" spans="1:7" x14ac:dyDescent="0.3">
      <c r="A24" s="16"/>
      <c r="G24" s="17"/>
    </row>
    <row r="25" spans="1:7" x14ac:dyDescent="0.3">
      <c r="A25" s="16"/>
      <c r="G25" s="17"/>
    </row>
    <row r="26" spans="1:7" x14ac:dyDescent="0.3">
      <c r="A26" s="16"/>
      <c r="G26" s="17"/>
    </row>
    <row r="27" spans="1:7" x14ac:dyDescent="0.3">
      <c r="A27" s="16"/>
      <c r="G27" s="17"/>
    </row>
    <row r="28" spans="1:7" x14ac:dyDescent="0.3">
      <c r="A28" s="16"/>
      <c r="G28" s="17"/>
    </row>
    <row r="29" spans="1:7" x14ac:dyDescent="0.3">
      <c r="A29" s="16"/>
      <c r="G29" s="17"/>
    </row>
    <row r="30" spans="1:7" x14ac:dyDescent="0.3">
      <c r="A30" s="16"/>
      <c r="G30" s="17"/>
    </row>
    <row r="31" spans="1:7" x14ac:dyDescent="0.3">
      <c r="A31" s="16"/>
      <c r="G31" s="17"/>
    </row>
    <row r="32" spans="1:7" x14ac:dyDescent="0.3">
      <c r="A32" s="16"/>
      <c r="G32" s="17"/>
    </row>
    <row r="33" spans="1:7" x14ac:dyDescent="0.3">
      <c r="A33" s="16"/>
      <c r="G33" s="17"/>
    </row>
    <row r="34" spans="1:7" x14ac:dyDescent="0.3">
      <c r="A34" s="16"/>
      <c r="G34" s="17"/>
    </row>
    <row r="35" spans="1:7" x14ac:dyDescent="0.3">
      <c r="A35" s="16"/>
      <c r="G35" s="17"/>
    </row>
    <row r="36" spans="1:7" x14ac:dyDescent="0.3">
      <c r="A36" s="16"/>
      <c r="G36" s="17"/>
    </row>
    <row r="37" spans="1:7" x14ac:dyDescent="0.3">
      <c r="A37" s="16"/>
      <c r="G37" s="17"/>
    </row>
    <row r="38" spans="1:7" x14ac:dyDescent="0.3">
      <c r="A38" s="16"/>
      <c r="G38" s="17"/>
    </row>
    <row r="39" spans="1:7" x14ac:dyDescent="0.3">
      <c r="A39" s="16"/>
      <c r="G39" s="17"/>
    </row>
    <row r="40" spans="1:7" x14ac:dyDescent="0.3">
      <c r="A40" s="16"/>
      <c r="G40" s="17"/>
    </row>
    <row r="41" spans="1:7" x14ac:dyDescent="0.3">
      <c r="A41" s="16"/>
      <c r="G41" s="17"/>
    </row>
    <row r="42" spans="1:7" x14ac:dyDescent="0.3">
      <c r="A42" s="16"/>
      <c r="G42" s="17"/>
    </row>
    <row r="43" spans="1:7" x14ac:dyDescent="0.3">
      <c r="A43" s="16"/>
      <c r="G43" s="17"/>
    </row>
    <row r="44" spans="1:7" x14ac:dyDescent="0.3">
      <c r="A44" s="16"/>
      <c r="G44" s="17"/>
    </row>
    <row r="45" spans="1:7" x14ac:dyDescent="0.3">
      <c r="A45" s="16"/>
      <c r="G45" s="17"/>
    </row>
    <row r="46" spans="1:7" x14ac:dyDescent="0.3">
      <c r="A46" s="16"/>
      <c r="G46" s="17"/>
    </row>
    <row r="47" spans="1:7" x14ac:dyDescent="0.3">
      <c r="A47" s="16"/>
      <c r="G47" s="17"/>
    </row>
    <row r="48" spans="1:7" x14ac:dyDescent="0.3">
      <c r="A48" s="16"/>
      <c r="G48" s="17"/>
    </row>
    <row r="49" spans="1:7" x14ac:dyDescent="0.3">
      <c r="A49" s="16"/>
      <c r="G49" s="17"/>
    </row>
    <row r="50" spans="1:7" x14ac:dyDescent="0.3">
      <c r="A50" s="16"/>
      <c r="G50" s="17"/>
    </row>
    <row r="51" spans="1:7" x14ac:dyDescent="0.3">
      <c r="A51" s="16"/>
      <c r="G51" s="17"/>
    </row>
    <row r="52" spans="1:7" x14ac:dyDescent="0.3">
      <c r="A52" s="16"/>
      <c r="G52" s="17"/>
    </row>
    <row r="53" spans="1:7" x14ac:dyDescent="0.3">
      <c r="A53" s="16"/>
      <c r="G53" s="17"/>
    </row>
    <row r="54" spans="1:7" x14ac:dyDescent="0.3">
      <c r="A54" s="16"/>
      <c r="G54" s="17"/>
    </row>
    <row r="55" spans="1:7" x14ac:dyDescent="0.3">
      <c r="A55" s="16"/>
      <c r="G55" s="17"/>
    </row>
    <row r="56" spans="1:7" x14ac:dyDescent="0.3">
      <c r="A56" s="16"/>
      <c r="G56" s="17"/>
    </row>
    <row r="57" spans="1:7" x14ac:dyDescent="0.3">
      <c r="A57" s="16"/>
      <c r="G57" s="17"/>
    </row>
    <row r="58" spans="1:7" x14ac:dyDescent="0.3">
      <c r="A58" s="16"/>
      <c r="G58" s="17"/>
    </row>
    <row r="59" spans="1:7" x14ac:dyDescent="0.3">
      <c r="A59" s="16"/>
      <c r="G59" s="17"/>
    </row>
    <row r="60" spans="1:7" x14ac:dyDescent="0.3">
      <c r="A60" s="16"/>
      <c r="G60" s="17"/>
    </row>
    <row r="61" spans="1:7" x14ac:dyDescent="0.3">
      <c r="A61" s="16"/>
      <c r="G61" s="17"/>
    </row>
    <row r="62" spans="1:7" x14ac:dyDescent="0.3">
      <c r="A62" s="16"/>
      <c r="G62" s="17"/>
    </row>
    <row r="63" spans="1:7" x14ac:dyDescent="0.3">
      <c r="A63" s="16"/>
      <c r="G63" s="17"/>
    </row>
    <row r="64" spans="1:7" x14ac:dyDescent="0.3">
      <c r="A64" s="16"/>
      <c r="G64" s="17"/>
    </row>
    <row r="65" spans="1:7" x14ac:dyDescent="0.3">
      <c r="A65" s="18"/>
      <c r="B65" s="19"/>
      <c r="C65" s="19"/>
      <c r="D65" s="19"/>
      <c r="E65" s="19"/>
      <c r="F65" s="19"/>
      <c r="G65" s="20"/>
    </row>
  </sheetData>
  <mergeCells count="2">
    <mergeCell ref="A1:G1"/>
    <mergeCell ref="A2:G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KUMAR A G</dc:creator>
  <cp:lastModifiedBy>VIJAY KUMAR A G</cp:lastModifiedBy>
  <dcterms:created xsi:type="dcterms:W3CDTF">2026-08-14T11:18:21Z</dcterms:created>
  <dcterms:modified xsi:type="dcterms:W3CDTF">2026-08-14T11:20:16Z</dcterms:modified>
</cp:coreProperties>
</file>